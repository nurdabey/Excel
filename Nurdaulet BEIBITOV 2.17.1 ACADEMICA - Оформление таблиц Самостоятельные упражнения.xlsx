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202300"/>
  <xr:revisionPtr revIDLastSave="0" documentId="13_ncr:1_{D9EF7149-D2AA-4FF1-984D-D5DCC5979CA1}" xr6:coauthVersionLast="47" xr6:coauthVersionMax="47" xr10:uidLastSave="{00000000-0000-0000-0000-000000000000}"/>
  <bookViews>
    <workbookView xWindow="-108" yWindow="-108" windowWidth="23256" windowHeight="12456" xr2:uid="{AC088162-9520-4FDB-8C2C-CD69646A6A40}"/>
  </bookViews>
  <sheets>
    <sheet name="4.1" sheetId="4" r:id="rId1"/>
    <sheet name="4.2" sheetId="1" r:id="rId2"/>
    <sheet name="4.3" sheetId="3" r:id="rId3"/>
    <sheet name="4.4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M3" i="2"/>
  <c r="D2" i="1"/>
  <c r="D2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</calcChain>
</file>

<file path=xl/sharedStrings.xml><?xml version="1.0" encoding="utf-8"?>
<sst xmlns="http://schemas.openxmlformats.org/spreadsheetml/2006/main" count="78" uniqueCount="45">
  <si>
    <t>Административная единица</t>
  </si>
  <si>
    <t>Численность мужского населения</t>
  </si>
  <si>
    <t>Численность женского населения</t>
  </si>
  <si>
    <t>Абай</t>
  </si>
  <si>
    <t>Акмолинская</t>
  </si>
  <si>
    <t>Актюбинская</t>
  </si>
  <si>
    <t>Алматинская</t>
  </si>
  <si>
    <t>Атырауская</t>
  </si>
  <si>
    <t>Западно-Казахстанская</t>
  </si>
  <si>
    <t>Жамбылская</t>
  </si>
  <si>
    <t>Жетісу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</si>
  <si>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</si>
  <si>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</si>
  <si>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</si>
  <si>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</si>
  <si>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</si>
  <si>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</si>
  <si>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Туркестанская</t>
  </si>
  <si>
    <t>Ұлытау</t>
  </si>
  <si>
    <t>Восточно-Казахстанская</t>
  </si>
  <si>
    <t>г.Астана</t>
  </si>
  <si>
    <t>г.Алматы</t>
  </si>
  <si>
    <t>г.Шымкент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</si>
  <si>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</si>
  <si>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</si>
  <si>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</si>
  <si>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</si>
  <si>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</si>
  <si>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</si>
  <si>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</si>
  <si>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</si>
  <si>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</si>
  <si>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</si>
  <si>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</si>
  <si>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</si>
  <si>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Количество, шт.</t>
  </si>
  <si>
    <t>Показатель</t>
  </si>
  <si>
    <t>Нарастающий итог,  шт.</t>
  </si>
  <si>
    <t>Месяц</t>
  </si>
  <si>
    <t>Республика Казахстан</t>
  </si>
  <si>
    <t>Численность населения</t>
  </si>
  <si>
    <t>Мужчины</t>
  </si>
  <si>
    <t>Женщины</t>
  </si>
  <si>
    <t>Общая численность населения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</si>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</sst>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theme="1"/>
      <name val="Arial"/>
      <family val="2"/>
    </font>
    <font>
      <b/>
      <i/>
      <sz val="12"/>
      <color theme="0"/>
      <name val="Arial"/>
      <family val="2"/>
    </font>
    <font>
      <b/>
      <sz val="11"/>
      <color theme="0"/>
      <name val="Aptos Narrow"/>
      <family val="2"/>
      <charset val="204"/>
      <scheme val="minor"/>
    </font>
    <font>
      <b/>
      <sz val="12"/>
      <color rgb="FFFFFFFF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/>
    <xf numFmtId="0" fontId="4" fillId="3" borderId="2" xfId="0" applyFont="1" applyFill="1" applyBorder="1" applyAlignment="1">
      <alignment horizontal="center" vertical="center"/>
    </xf>
    <xf numFmtId="0" fontId="0" fillId="6" borderId="7" xfId="0" applyFill="1" applyBorder="1"/>
    <xf numFmtId="0" fontId="5" fillId="4" borderId="8" xfId="0" applyFont="1" applyFill="1" applyBorder="1"/>
    <xf numFmtId="0" fontId="5" fillId="4" borderId="0" xfId="0" applyFont="1" applyFill="1"/>
    <xf numFmtId="0" fontId="5" fillId="4" borderId="9" xfId="0" applyFont="1" applyFill="1" applyBorder="1"/>
    <xf numFmtId="0" fontId="6" fillId="4" borderId="9" xfId="0" applyFont="1" applyFill="1" applyBorder="1"/>
    <xf numFmtId="0" fontId="0" fillId="5" borderId="10" xfId="0" applyFill="1" applyBorder="1"/>
    <xf numFmtId="0" fontId="0" fillId="6" borderId="8" xfId="0" applyFill="1" applyBorder="1"/>
    <xf numFmtId="0" fontId="0" fillId="5" borderId="8" xfId="0" applyFill="1" applyBorder="1"/>
    <xf numFmtId="0" fontId="0" fillId="5" borderId="11" xfId="0" applyFill="1" applyBorder="1"/>
    <xf numFmtId="0" fontId="0" fillId="5" borderId="7" xfId="0" applyFill="1" applyBorder="1"/>
    <xf numFmtId="0" fontId="5" fillId="4" borderId="10" xfId="0" applyFont="1" applyFill="1" applyBorder="1"/>
    <xf numFmtId="0" fontId="7" fillId="0" borderId="1" xfId="0" applyFont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0</xdr:rowOff>
    </xdr:from>
    <xdr:to>
      <xdr:col>12</xdr:col>
      <xdr:colOff>295275</xdr:colOff>
      <xdr:row>13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C9645DD3-1622-4308-BC45-3409D8815C71}"/>
            </a:ext>
          </a:extLst>
        </xdr:cNvPr>
        <xdr:cNvSpPr/>
      </xdr:nvSpPr>
      <xdr:spPr>
        <a:xfrm>
          <a:off x="5229225" y="0"/>
          <a:ext cx="4524375" cy="2647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Задайте для диапазона </a:t>
          </a:r>
          <a:r>
            <a:rPr lang="en-US" sz="1200"/>
            <a:t>A1:C23</a:t>
          </a:r>
          <a:r>
            <a:rPr lang="en-US" sz="1200" baseline="0"/>
            <a:t> </a:t>
          </a:r>
          <a:r>
            <a:rPr lang="ru-RU" sz="1200" baseline="0"/>
            <a:t>следующее форматирование:</a:t>
          </a:r>
          <a:endParaRPr lang="en-US" sz="1200"/>
        </a:p>
        <a:p>
          <a:pPr algn="l"/>
          <a:r>
            <a:rPr lang="ru-RU" sz="1200"/>
            <a:t>	шрифт - </a:t>
          </a:r>
          <a:r>
            <a:rPr lang="en-US" sz="1200"/>
            <a:t>Arial</a:t>
          </a:r>
          <a:r>
            <a:rPr lang="ru-RU" sz="1200"/>
            <a:t>,</a:t>
          </a:r>
          <a:r>
            <a:rPr lang="en-US" sz="1200"/>
            <a:t> 12pt</a:t>
          </a:r>
          <a:r>
            <a:rPr lang="ru-RU" sz="1200"/>
            <a:t>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	границы - все, синий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пунктир.</a:t>
          </a:r>
          <a:endParaRPr lang="ru-RU" sz="12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/>
            <a:t>2. Задайте для диапазона </a:t>
          </a:r>
          <a:r>
            <a:rPr lang="en-US" sz="1200"/>
            <a:t>A1:C2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следующее форматирование:</a:t>
          </a:r>
          <a:endParaRPr lang="ru-RU" sz="1200"/>
        </a:p>
        <a:p>
          <a:pPr algn="l"/>
          <a:r>
            <a:rPr lang="ru-RU" sz="1200"/>
            <a:t>	начертание - полужирный курсив,</a:t>
          </a:r>
        </a:p>
        <a:p>
          <a:pPr algn="l"/>
          <a:r>
            <a:rPr lang="ru-RU" sz="1200"/>
            <a:t>	заливка - светло-синий,</a:t>
          </a:r>
        </a:p>
        <a:p>
          <a:pPr algn="l"/>
          <a:r>
            <a:rPr lang="ru-RU" sz="1200"/>
            <a:t>	цвет текста - белый,</a:t>
          </a:r>
        </a:p>
        <a:p>
          <a:pPr algn="l"/>
          <a:r>
            <a:rPr lang="ru-RU" sz="1200"/>
            <a:t>	выравнивание - по центру, по середине.</a:t>
          </a:r>
        </a:p>
        <a:p>
          <a:pPr algn="l"/>
          <a:r>
            <a:rPr lang="ru-RU" sz="1200"/>
            <a:t>3.</a:t>
          </a:r>
          <a:r>
            <a:rPr lang="ru-RU" sz="1200" baseline="0"/>
            <a:t> </a:t>
          </a:r>
          <a:r>
            <a:rPr lang="ru-RU" sz="1200"/>
            <a:t>Объедините</a:t>
          </a:r>
          <a:r>
            <a:rPr lang="ru-RU" sz="1200" baseline="0"/>
            <a:t> ячейки </a:t>
          </a:r>
          <a:r>
            <a:rPr lang="en-US" sz="1200" baseline="0"/>
            <a:t>A1 </a:t>
          </a:r>
          <a:r>
            <a:rPr lang="ru-RU" sz="1200" baseline="0"/>
            <a:t>и </a:t>
          </a:r>
          <a:r>
            <a:rPr lang="en-US" sz="1200" baseline="0"/>
            <a:t>A2 </a:t>
          </a:r>
          <a:r>
            <a:rPr lang="ru-RU" sz="1200" baseline="0"/>
            <a:t>и включите перенос текста.</a:t>
          </a:r>
        </a:p>
        <a:p>
          <a:pPr algn="l"/>
          <a:r>
            <a:rPr lang="ru-RU" sz="1200"/>
            <a:t>4. Объедините ячейки </a:t>
          </a:r>
          <a:r>
            <a:rPr lang="en-US" sz="1200"/>
            <a:t>B1 </a:t>
          </a:r>
          <a:r>
            <a:rPr lang="ru-RU" sz="1200"/>
            <a:t>и </a:t>
          </a:r>
          <a:r>
            <a:rPr lang="en-US" sz="1200"/>
            <a:t>C1.</a:t>
          </a:r>
          <a:endParaRPr lang="ru-RU" sz="1200"/>
        </a:p>
        <a:p>
          <a:pPr algn="l"/>
          <a:r>
            <a:rPr lang="ru-RU" sz="1200"/>
            <a:t>5. Скопируйте</a:t>
          </a:r>
          <a:r>
            <a:rPr lang="ru-RU" sz="1200" baseline="0"/>
            <a:t> оформление из ячейки </a:t>
          </a:r>
          <a:r>
            <a:rPr lang="en-US" sz="1200" baseline="0"/>
            <a:t>C3</a:t>
          </a:r>
          <a:r>
            <a:rPr lang="ru-RU" sz="1200" baseline="0"/>
            <a:t> и примените к диапазону </a:t>
          </a:r>
          <a:r>
            <a:rPr lang="en-US" sz="1200" baseline="0"/>
            <a:t>B2:C23.</a:t>
          </a:r>
          <a:endParaRPr lang="ru-RU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0</xdr:row>
      <xdr:rowOff>0</xdr:rowOff>
    </xdr:from>
    <xdr:to>
      <xdr:col>13</xdr:col>
      <xdr:colOff>228600</xdr:colOff>
      <xdr:row>13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2C0BC8D-44B5-4FD6-9CA0-CCB38C979FB9}"/>
            </a:ext>
          </a:extLst>
        </xdr:cNvPr>
        <xdr:cNvSpPr/>
      </xdr:nvSpPr>
      <xdr:spPr>
        <a:xfrm>
          <a:off x="3629025" y="0"/>
          <a:ext cx="4524375" cy="2647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Преобразуйте диапазон </a:t>
          </a:r>
          <a:r>
            <a:rPr lang="en-US" sz="1200"/>
            <a:t>A1:C21</a:t>
          </a:r>
          <a:r>
            <a:rPr lang="ru-RU" sz="1200" baseline="0"/>
            <a:t> в таблицу</a:t>
          </a:r>
          <a:r>
            <a:rPr lang="ru-RU" sz="1200"/>
            <a:t>.</a:t>
          </a:r>
        </a:p>
        <a:p>
          <a:pPr algn="l"/>
          <a:r>
            <a:rPr lang="ru-RU" sz="1200" baseline="0"/>
            <a:t>2. Примените к таблице стиль средний 12.</a:t>
          </a:r>
        </a:p>
        <a:p>
          <a:pPr algn="l"/>
          <a:r>
            <a:rPr lang="ru-RU" sz="1200" baseline="0"/>
            <a:t>3. Добавьте столбец "Общая численность населения" и введите в него формулу, определяющую сумму мужского и женского населения.</a:t>
          </a:r>
        </a:p>
        <a:p>
          <a:pPr algn="l"/>
          <a:r>
            <a:rPr lang="ru-RU" sz="1200" baseline="0"/>
            <a:t>4. Выключите чередующиеся строки и включите чередующиеся столбцы.</a:t>
          </a:r>
        </a:p>
        <a:p>
          <a:pPr algn="l"/>
          <a:r>
            <a:rPr lang="ru-RU" sz="1200" baseline="0"/>
            <a:t>5. Включите строку итогов и настройте расчёт суммы по всем трём числовым столбцам.</a:t>
          </a:r>
        </a:p>
        <a:p>
          <a:pPr algn="l"/>
          <a:r>
            <a:rPr lang="ru-RU" sz="1200" baseline="0"/>
            <a:t>6. Преобразуйте таблицу в диапазон.</a:t>
          </a:r>
          <a:endParaRPr lang="ru-RU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0</xdr:rowOff>
    </xdr:from>
    <xdr:to>
      <xdr:col>15</xdr:col>
      <xdr:colOff>276225</xdr:colOff>
      <xdr:row>13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7C4A9EFD-EF13-44B9-AD67-EFA80B329139}"/>
            </a:ext>
          </a:extLst>
        </xdr:cNvPr>
        <xdr:cNvSpPr/>
      </xdr:nvSpPr>
      <xdr:spPr>
        <a:xfrm>
          <a:off x="7334250" y="0"/>
          <a:ext cx="4524375" cy="2647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  <a:endParaRPr lang="ru-RU" sz="12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Добавьте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для диапазона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B2:B13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правило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"Менее 30 000" </a:t>
          </a:r>
          <a:b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с красной заливкой.</a:t>
          </a:r>
          <a:endParaRPr lang="ru-RU" sz="12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Добавьте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для диапазона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C2:C13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правило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"Выше среднего" </a:t>
          </a:r>
          <a:b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с зелёной заливкой.</a:t>
          </a:r>
          <a:endParaRPr lang="ru-RU" sz="1200">
            <a:effectLst/>
          </a:endParaRPr>
        </a:p>
        <a:p>
          <a:pPr algn="l"/>
          <a:r>
            <a:rPr lang="ru-RU" sz="1200"/>
            <a:t>3. Добавьте</a:t>
          </a:r>
          <a:r>
            <a:rPr lang="ru-RU" sz="1200" baseline="0"/>
            <a:t> для диапазона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D2:D13</a:t>
          </a:r>
          <a:r>
            <a:rPr lang="ru-RU" sz="1200" baseline="0"/>
            <a:t> правило</a:t>
          </a:r>
          <a:r>
            <a:rPr lang="en-US" sz="1200" baseline="0"/>
            <a:t> </a:t>
          </a:r>
          <a:r>
            <a:rPr lang="ru-RU" sz="1200" baseline="0"/>
            <a:t>градиентная </a:t>
          </a:r>
          <a:br>
            <a:rPr lang="ru-RU" sz="1200" baseline="0"/>
          </a:br>
          <a:r>
            <a:rPr lang="ru-RU" sz="1200" baseline="0"/>
            <a:t>"Синяя гистограмма".</a:t>
          </a:r>
        </a:p>
        <a:p>
          <a:pPr algn="l"/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Добавьте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для диапазона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E2:E13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правило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ru-RU" sz="1200" baseline="0"/>
            <a:t>"Зеленый-белый-красный".</a:t>
          </a:r>
        </a:p>
        <a:p>
          <a:pPr algn="l"/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Добавьте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для диапазона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F2:F13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правило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/>
            <a:t>3 </a:t>
          </a:r>
          <a:r>
            <a:rPr lang="ru-RU" sz="1200" baseline="0"/>
            <a:t>флага.</a:t>
          </a:r>
        </a:p>
        <a:p>
          <a:pPr algn="l"/>
          <a:r>
            <a:rPr lang="ru-RU" sz="1200" baseline="0"/>
            <a:t>6. Удалить правило условного форматирования из </a:t>
          </a:r>
          <a:br>
            <a:rPr lang="ru-RU" sz="1200" baseline="0"/>
          </a:br>
          <a:r>
            <a:rPr lang="ru-RU" sz="1200" baseline="0"/>
            <a:t>диапаона </a:t>
          </a:r>
          <a:r>
            <a:rPr lang="en-US" sz="1200" baseline="0"/>
            <a:t>G2:G13.</a:t>
          </a:r>
          <a:endParaRPr lang="ru-RU" sz="1200"/>
        </a:p>
        <a:p>
          <a:pPr algn="l"/>
          <a:endParaRPr lang="ru-RU" sz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295275</xdr:colOff>
      <xdr:row>0</xdr:row>
      <xdr:rowOff>0</xdr:rowOff>
    </xdr:from>
    <xdr:to>
      <xdr:col>21</xdr:col>
      <xdr:colOff>552450</xdr:colOff>
      <xdr:row>11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CB02F6DB-0AB3-44D7-96DF-A78CABFC4453}"/>
            </a:ext>
          </a:extLst>
        </xdr:cNvPr>
        <xdr:cNvSpPr/>
      </xdr:nvSpPr>
      <xdr:spPr>
        <a:xfrm>
          <a:off x="7810500" y="0"/>
          <a:ext cx="4524375" cy="2647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При помощи Быстрого анализа проанализируйте</a:t>
          </a:r>
          <a:r>
            <a:rPr lang="ru-RU" sz="1200" baseline="0"/>
            <a:t> диапазон </a:t>
          </a:r>
          <a:r>
            <a:rPr lang="en-US" sz="1200" baseline="0"/>
            <a:t>B2:M3</a:t>
          </a:r>
          <a:r>
            <a:rPr lang="ru-RU" sz="1200" baseline="0"/>
            <a:t>:</a:t>
          </a:r>
        </a:p>
        <a:p>
          <a:pPr algn="l"/>
          <a:r>
            <a:rPr lang="ru-RU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Добавьте условное форматирование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"Цветовые шкалы".</a:t>
          </a: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Вставьте в диапазон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B3:M3 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формулы для расчёта нарастающего итога.</a:t>
          </a:r>
        </a:p>
        <a:p>
          <a:pPr algn="l"/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Вставьте в ячейку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N2</a:t>
          </a:r>
          <a:r>
            <a:rPr lang="ru-RU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спарклайн типа Гистограмма.</a:t>
          </a:r>
          <a:endParaRPr lang="ru-RU" sz="12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879B-D7F5-48D6-9492-3926C13BB8A4}">
  <dimension ref="A1:C23"/>
  <sheetViews>
    <sheetView tabSelected="1" zoomScale="81" workbookViewId="0">
      <selection activeCell="D20" sqref="D20"/>
    </sheetView>
  </sheetViews>
  <sheetFormatPr defaultRowHeight="14.4" x14ac:dyDescent="0.3"/>
  <cols>
    <col min="1" max="1" width="37" customWidth="1"/>
    <col min="2" max="3" width="17.5546875" customWidth="1"/>
  </cols>
  <sheetData>
    <row r="1" spans="1:3" ht="15.6" x14ac:dyDescent="0.3">
      <c r="A1" s="20" t="s">
        <v>0</v>
      </c>
      <c r="B1" s="22" t="s">
        <v>40</v>
      </c>
      <c r="C1" s="23"/>
    </row>
    <row r="2" spans="1:3" ht="15.6" x14ac:dyDescent="0.3">
      <c r="A2" s="21"/>
      <c r="B2" s="7" t="s">
        <v>41</v>
      </c>
      <c r="C2" s="7" t="s">
        <v>42</v>
      </c>
    </row>
    <row r="3" spans="1:3" ht="15.6" x14ac:dyDescent="0.3">
      <c r="A3" s="5" t="s">
        <v>3</v>
      </c>
      <c r="B3" s="6">
        <v>297924</v>
      </c>
      <c r="C3" s="6">
        <v>309665</v>
      </c>
    </row>
    <row r="4" spans="1:3" ht="15.6" x14ac:dyDescent="0.3">
      <c r="A4" s="5" t="s">
        <v>4</v>
      </c>
      <c r="B4" s="6">
        <v>385950</v>
      </c>
      <c r="C4" s="6">
        <v>402026</v>
      </c>
    </row>
    <row r="5" spans="1:3" ht="15.6" x14ac:dyDescent="0.3">
      <c r="A5" s="5" t="s">
        <v>5</v>
      </c>
      <c r="B5" s="6">
        <v>461159</v>
      </c>
      <c r="C5" s="6">
        <v>478246</v>
      </c>
    </row>
    <row r="6" spans="1:3" ht="15.6" x14ac:dyDescent="0.3">
      <c r="A6" s="5" t="s">
        <v>6</v>
      </c>
      <c r="B6" s="6">
        <v>765845</v>
      </c>
      <c r="C6" s="6">
        <v>765322</v>
      </c>
    </row>
    <row r="7" spans="1:3" ht="15.6" x14ac:dyDescent="0.3">
      <c r="A7" s="5" t="s">
        <v>7</v>
      </c>
      <c r="B7" s="6">
        <v>347856</v>
      </c>
      <c r="C7" s="6">
        <v>356218</v>
      </c>
    </row>
    <row r="8" spans="1:3" ht="15.6" x14ac:dyDescent="0.3">
      <c r="A8" s="5" t="s">
        <v>8</v>
      </c>
      <c r="B8" s="6">
        <v>339125</v>
      </c>
      <c r="C8" s="6">
        <v>354136</v>
      </c>
    </row>
    <row r="9" spans="1:3" ht="15.6" x14ac:dyDescent="0.3">
      <c r="A9" s="5" t="s">
        <v>9</v>
      </c>
      <c r="B9" s="6">
        <v>607171</v>
      </c>
      <c r="C9" s="6">
        <v>615422</v>
      </c>
    </row>
    <row r="10" spans="1:3" ht="15.6" x14ac:dyDescent="0.3">
      <c r="A10" s="5" t="s">
        <v>10</v>
      </c>
      <c r="B10" s="6">
        <v>345053</v>
      </c>
      <c r="C10" s="6">
        <v>352934</v>
      </c>
    </row>
    <row r="11" spans="1:3" ht="15.6" x14ac:dyDescent="0.3">
      <c r="A11" s="5" t="s">
        <v>11</v>
      </c>
      <c r="B11" s="6">
        <v>543847</v>
      </c>
      <c r="C11" s="6">
        <v>-543847</v>
      </c>
    </row>
    <row r="12" spans="1:3" ht="15.6" x14ac:dyDescent="0.3">
      <c r="A12" s="5" t="s">
        <v>12</v>
      </c>
      <c r="B12" s="6">
        <v>401605</v>
      </c>
      <c r="C12" s="6">
        <v>-401605</v>
      </c>
    </row>
    <row r="13" spans="1:3" ht="15.6" x14ac:dyDescent="0.3">
      <c r="A13" s="5" t="s">
        <v>13</v>
      </c>
      <c r="B13" s="6">
        <v>423160</v>
      </c>
      <c r="C13" s="6">
        <v>-423160</v>
      </c>
    </row>
    <row r="14" spans="1:3" ht="15.6" x14ac:dyDescent="0.3">
      <c r="A14" s="5" t="s">
        <v>14</v>
      </c>
      <c r="B14" s="6">
        <v>391386</v>
      </c>
      <c r="C14" s="6">
        <v>-391386</v>
      </c>
    </row>
    <row r="15" spans="1:3" ht="15.6" x14ac:dyDescent="0.3">
      <c r="A15" s="5" t="s">
        <v>15</v>
      </c>
      <c r="B15" s="6">
        <v>362347</v>
      </c>
      <c r="C15" s="6">
        <v>-362347</v>
      </c>
    </row>
    <row r="16" spans="1:3" ht="15.6" x14ac:dyDescent="0.3">
      <c r="A16" s="5" t="s">
        <v>16</v>
      </c>
      <c r="B16" s="6">
        <v>256139</v>
      </c>
      <c r="C16" s="6">
        <v>-256139</v>
      </c>
    </row>
    <row r="17" spans="1:3" ht="15.6" x14ac:dyDescent="0.3">
      <c r="A17" s="5" t="s">
        <v>17</v>
      </c>
      <c r="B17" s="6">
        <v>-1050113</v>
      </c>
      <c r="C17" s="6">
        <v>1050113</v>
      </c>
    </row>
    <row r="18" spans="1:3" ht="15.6" x14ac:dyDescent="0.3">
      <c r="A18" s="5" t="s">
        <v>18</v>
      </c>
      <c r="B18" s="6">
        <v>-112999</v>
      </c>
      <c r="C18" s="6">
        <v>112999</v>
      </c>
    </row>
    <row r="19" spans="1:3" ht="15.6" x14ac:dyDescent="0.3">
      <c r="A19" s="5" t="s">
        <v>19</v>
      </c>
      <c r="B19" s="6">
        <v>-378776</v>
      </c>
      <c r="C19" s="6">
        <v>378776</v>
      </c>
    </row>
    <row r="20" spans="1:3" ht="15.6" x14ac:dyDescent="0.3">
      <c r="A20" s="5" t="s">
        <v>20</v>
      </c>
      <c r="B20" s="6">
        <v>-750058</v>
      </c>
      <c r="C20" s="6">
        <v>750058</v>
      </c>
    </row>
    <row r="21" spans="1:3" ht="15.6" x14ac:dyDescent="0.3">
      <c r="A21" s="5" t="s">
        <v>21</v>
      </c>
      <c r="B21" s="6">
        <v>-1192870</v>
      </c>
      <c r="C21" s="6">
        <v>1192870</v>
      </c>
    </row>
    <row r="22" spans="1:3" ht="15.6" x14ac:dyDescent="0.3">
      <c r="A22" s="5" t="s">
        <v>22</v>
      </c>
      <c r="B22" s="6">
        <v>-631604</v>
      </c>
      <c r="C22" s="6">
        <v>631604</v>
      </c>
    </row>
    <row r="23" spans="1:3" ht="15.6" x14ac:dyDescent="0.3">
      <c r="A23" s="5" t="s">
        <v>39</v>
      </c>
      <c r="B23" s="6">
        <v>1812147</v>
      </c>
      <c r="C23" s="6">
        <v>5371905</v>
      </c>
    </row>
  </sheetData>
  <mergeCells count="2">
    <mergeCell ref="A1:A2"/>
    <mergeCell ref="B1:C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55CA-9C94-4838-84B5-42B37300915C}">
  <dimension ref="A1:D22"/>
  <sheetViews>
    <sheetView workbookViewId="0">
      <selection activeCell="B6" sqref="A2:D21"/>
    </sheetView>
  </sheetViews>
  <sheetFormatPr defaultRowHeight="14.4" x14ac:dyDescent="0.3"/>
  <cols>
    <col min="1" max="1" width="27.5546875" customWidth="1"/>
    <col min="2" max="2" width="32.44140625" customWidth="1"/>
    <col min="3" max="3" width="32.33203125" customWidth="1"/>
    <col min="4" max="4" width="33.77734375" bestFit="1" customWidth="1"/>
  </cols>
  <sheetData>
    <row r="1" spans="1:4" ht="16.2" thickBot="1" x14ac:dyDescent="0.35">
      <c r="A1" s="10" t="s">
        <v>0</v>
      </c>
      <c r="B1" s="11" t="s">
        <v>1</v>
      </c>
      <c r="C1" s="11" t="s">
        <v>2</v>
      </c>
      <c r="D1" s="12" t="s">
        <v>43</v>
      </c>
    </row>
    <row r="2" spans="1:4" ht="15" thickTop="1" x14ac:dyDescent="0.3">
      <c r="A2" s="13" t="s">
        <v>3</v>
      </c>
      <c r="B2" s="14">
        <v>297924</v>
      </c>
      <c r="C2" s="15">
        <v>309665</v>
      </c>
      <c r="D2" s="14">
        <f>'4.2'!$C2+'4.2'!$B2</f>
        <v>607589</v>
      </c>
    </row>
    <row r="3" spans="1:4" x14ac:dyDescent="0.3">
      <c r="A3" s="16" t="s">
        <v>4</v>
      </c>
      <c r="B3" s="8">
        <v>385950</v>
      </c>
      <c r="C3" s="17">
        <v>402026</v>
      </c>
      <c r="D3" s="8">
        <f>'4.2'!$C3+'4.2'!$B3</f>
        <v>787976</v>
      </c>
    </row>
    <row r="4" spans="1:4" x14ac:dyDescent="0.3">
      <c r="A4" s="16" t="s">
        <v>5</v>
      </c>
      <c r="B4" s="8">
        <v>461159</v>
      </c>
      <c r="C4" s="17">
        <v>478246</v>
      </c>
      <c r="D4" s="8">
        <f>'4.2'!$C4+'4.2'!$B4</f>
        <v>939405</v>
      </c>
    </row>
    <row r="5" spans="1:4" x14ac:dyDescent="0.3">
      <c r="A5" s="16" t="s">
        <v>6</v>
      </c>
      <c r="B5" s="8">
        <v>765845</v>
      </c>
      <c r="C5" s="17">
        <v>765322</v>
      </c>
      <c r="D5" s="8">
        <f>'4.2'!$C5+'4.2'!$B5</f>
        <v>1531167</v>
      </c>
    </row>
    <row r="6" spans="1:4" x14ac:dyDescent="0.3">
      <c r="A6" s="16" t="s">
        <v>7</v>
      </c>
      <c r="B6" s="8">
        <v>347856</v>
      </c>
      <c r="C6" s="17">
        <v>356218</v>
      </c>
      <c r="D6" s="8">
        <f>'4.2'!$C6+'4.2'!$B6</f>
        <v>704074</v>
      </c>
    </row>
    <row r="7" spans="1:4" x14ac:dyDescent="0.3">
      <c r="A7" s="16" t="s">
        <v>8</v>
      </c>
      <c r="B7" s="8">
        <v>339125</v>
      </c>
      <c r="C7" s="17">
        <v>354136</v>
      </c>
      <c r="D7" s="8">
        <f>'4.2'!$C7+'4.2'!$B7</f>
        <v>693261</v>
      </c>
    </row>
    <row r="8" spans="1:4" x14ac:dyDescent="0.3">
      <c r="A8" s="16" t="s">
        <v>9</v>
      </c>
      <c r="B8" s="8">
        <v>607171</v>
      </c>
      <c r="C8" s="17">
        <v>615422</v>
      </c>
      <c r="D8" s="8">
        <f>'4.2'!$C8+'4.2'!$B8</f>
        <v>1222593</v>
      </c>
    </row>
    <row r="9" spans="1:4" x14ac:dyDescent="0.3">
      <c r="A9" s="16" t="s">
        <v>10</v>
      </c>
      <c r="B9" s="8">
        <v>345053</v>
      </c>
      <c r="C9" s="17">
        <v>352934</v>
      </c>
      <c r="D9" s="8">
        <f>'4.2'!$C9+'4.2'!$B9</f>
        <v>697987</v>
      </c>
    </row>
    <row r="10" spans="1:4" x14ac:dyDescent="0.3">
      <c r="A10" s="16" t="s">
        <v>11</v>
      </c>
      <c r="B10" s="8">
        <v>543847</v>
      </c>
      <c r="C10" s="17">
        <v>591504</v>
      </c>
      <c r="D10" s="8">
        <f>'4.2'!$C10+'4.2'!$B10</f>
        <v>1135351</v>
      </c>
    </row>
    <row r="11" spans="1:4" x14ac:dyDescent="0.3">
      <c r="A11" s="16" t="s">
        <v>12</v>
      </c>
      <c r="B11" s="8">
        <v>401605</v>
      </c>
      <c r="C11" s="17">
        <v>428379</v>
      </c>
      <c r="D11" s="8">
        <f>'4.2'!$C11+'4.2'!$B11</f>
        <v>829984</v>
      </c>
    </row>
    <row r="12" spans="1:4" x14ac:dyDescent="0.3">
      <c r="A12" s="16" t="s">
        <v>13</v>
      </c>
      <c r="B12" s="8">
        <v>423160</v>
      </c>
      <c r="C12" s="17">
        <v>418769</v>
      </c>
      <c r="D12" s="8">
        <f>'4.2'!$C12+'4.2'!$B12</f>
        <v>841929</v>
      </c>
    </row>
    <row r="13" spans="1:4" x14ac:dyDescent="0.3">
      <c r="A13" s="16" t="s">
        <v>14</v>
      </c>
      <c r="B13" s="8">
        <v>391386</v>
      </c>
      <c r="C13" s="17">
        <v>395451</v>
      </c>
      <c r="D13" s="8">
        <f>'4.2'!$C13+'4.2'!$B13</f>
        <v>786837</v>
      </c>
    </row>
    <row r="14" spans="1:4" x14ac:dyDescent="0.3">
      <c r="A14" s="16" t="s">
        <v>15</v>
      </c>
      <c r="B14" s="8">
        <v>362347</v>
      </c>
      <c r="C14" s="17">
        <v>391586</v>
      </c>
      <c r="D14" s="8">
        <f>'4.2'!$C14+'4.2'!$B14</f>
        <v>753933</v>
      </c>
    </row>
    <row r="15" spans="1:4" x14ac:dyDescent="0.3">
      <c r="A15" s="16" t="s">
        <v>16</v>
      </c>
      <c r="B15" s="8">
        <v>256139</v>
      </c>
      <c r="C15" s="17">
        <v>273950</v>
      </c>
      <c r="D15" s="8">
        <f>'4.2'!$C15+'4.2'!$B15</f>
        <v>530089</v>
      </c>
    </row>
    <row r="16" spans="1:4" x14ac:dyDescent="0.3">
      <c r="A16" s="16" t="s">
        <v>17</v>
      </c>
      <c r="B16" s="8">
        <v>1092059</v>
      </c>
      <c r="C16" s="17">
        <v>1050113</v>
      </c>
      <c r="D16" s="8">
        <f>'4.2'!$C16+'4.2'!$B16</f>
        <v>2142172</v>
      </c>
    </row>
    <row r="17" spans="1:4" x14ac:dyDescent="0.3">
      <c r="A17" s="16" t="s">
        <v>18</v>
      </c>
      <c r="B17" s="8">
        <v>108583</v>
      </c>
      <c r="C17" s="17">
        <v>112999</v>
      </c>
      <c r="D17" s="8">
        <f>'4.2'!$C17+'4.2'!$B17</f>
        <v>221582</v>
      </c>
    </row>
    <row r="18" spans="1:4" x14ac:dyDescent="0.3">
      <c r="A18" s="16" t="s">
        <v>19</v>
      </c>
      <c r="B18" s="8">
        <v>348277</v>
      </c>
      <c r="C18" s="17">
        <v>378776</v>
      </c>
      <c r="D18" s="8">
        <f>'4.2'!$C18+'4.2'!$B18</f>
        <v>727053</v>
      </c>
    </row>
    <row r="19" spans="1:4" x14ac:dyDescent="0.3">
      <c r="A19" s="16" t="s">
        <v>20</v>
      </c>
      <c r="B19" s="8">
        <v>680059</v>
      </c>
      <c r="C19" s="17">
        <v>750058</v>
      </c>
      <c r="D19" s="8">
        <f>'4.2'!$C19+'4.2'!$B19</f>
        <v>1430117</v>
      </c>
    </row>
    <row r="20" spans="1:4" x14ac:dyDescent="0.3">
      <c r="A20" s="16" t="s">
        <v>21</v>
      </c>
      <c r="B20" s="8">
        <v>1035807</v>
      </c>
      <c r="C20" s="17">
        <v>1192870</v>
      </c>
      <c r="D20" s="8">
        <f>'4.2'!$C20+'4.2'!$B20</f>
        <v>2228677</v>
      </c>
    </row>
    <row r="21" spans="1:4" ht="15" thickBot="1" x14ac:dyDescent="0.35">
      <c r="A21" s="16" t="s">
        <v>22</v>
      </c>
      <c r="B21" s="8">
        <v>590462</v>
      </c>
      <c r="C21" s="17">
        <v>631604</v>
      </c>
      <c r="D21" s="8">
        <f>'4.2'!$C21+'4.2'!$B21</f>
        <v>1222066</v>
      </c>
    </row>
    <row r="22" spans="1:4" ht="15" thickTop="1" x14ac:dyDescent="0.3">
      <c r="A22" s="18" t="s">
        <v>44</v>
      </c>
      <c r="B22" s="9"/>
      <c r="C22" s="9"/>
      <c r="D22" s="9">
        <f>SUBTOTAL(109,'4.2'!$D$2:$D$21)</f>
        <v>20033842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6DE5-2D59-4175-83DC-54E9DDDA19B0}">
  <dimension ref="A1:G13"/>
  <sheetViews>
    <sheetView workbookViewId="0">
      <selection activeCell="H18" sqref="H18"/>
    </sheetView>
  </sheetViews>
  <sheetFormatPr defaultRowHeight="14.4" x14ac:dyDescent="0.3"/>
  <sheetData>
    <row r="1" spans="1:7" x14ac:dyDescent="0.3">
      <c r="A1" s="4" t="s">
        <v>38</v>
      </c>
      <c r="B1" s="4">
        <v>2018</v>
      </c>
      <c r="C1" s="4">
        <v>2019</v>
      </c>
      <c r="D1" s="4">
        <v>2020</v>
      </c>
      <c r="E1" s="4">
        <v>2021</v>
      </c>
      <c r="F1" s="4">
        <v>2022</v>
      </c>
      <c r="G1" s="4">
        <v>2023</v>
      </c>
    </row>
    <row r="2" spans="1:7" x14ac:dyDescent="0.3">
      <c r="A2" s="2" t="s">
        <v>23</v>
      </c>
      <c r="B2" s="2">
        <v>46000</v>
      </c>
      <c r="C2" s="2">
        <v>91000</v>
      </c>
      <c r="D2" s="2">
        <v>68000</v>
      </c>
      <c r="E2" s="2">
        <v>91000</v>
      </c>
      <c r="F2" s="2">
        <v>72000</v>
      </c>
      <c r="G2" s="2">
        <v>14000</v>
      </c>
    </row>
    <row r="3" spans="1:7" x14ac:dyDescent="0.3">
      <c r="A3" s="2" t="s">
        <v>24</v>
      </c>
      <c r="B3" s="2">
        <v>53000</v>
      </c>
      <c r="C3" s="2">
        <v>74000</v>
      </c>
      <c r="D3" s="2">
        <v>79000</v>
      </c>
      <c r="E3" s="2">
        <v>14000</v>
      </c>
      <c r="F3" s="2">
        <v>35000</v>
      </c>
      <c r="G3" s="2">
        <v>18000</v>
      </c>
    </row>
    <row r="4" spans="1:7" x14ac:dyDescent="0.3">
      <c r="A4" s="2" t="s">
        <v>25</v>
      </c>
      <c r="B4" s="2">
        <v>68000</v>
      </c>
      <c r="C4" s="2">
        <v>33000</v>
      </c>
      <c r="D4" s="2">
        <v>88000</v>
      </c>
      <c r="E4" s="2">
        <v>83000</v>
      </c>
      <c r="F4" s="2">
        <v>34000</v>
      </c>
      <c r="G4" s="2">
        <v>74000</v>
      </c>
    </row>
    <row r="5" spans="1:7" x14ac:dyDescent="0.3">
      <c r="A5" s="2" t="s">
        <v>26</v>
      </c>
      <c r="B5" s="2">
        <v>27000</v>
      </c>
      <c r="C5" s="2">
        <v>32000</v>
      </c>
      <c r="D5" s="2">
        <v>10000</v>
      </c>
      <c r="E5" s="2">
        <v>95000</v>
      </c>
      <c r="F5" s="2">
        <v>16000</v>
      </c>
      <c r="G5" s="2">
        <v>53000</v>
      </c>
    </row>
    <row r="6" spans="1:7" x14ac:dyDescent="0.3">
      <c r="A6" s="2" t="s">
        <v>27</v>
      </c>
      <c r="B6" s="2">
        <v>23000</v>
      </c>
      <c r="C6" s="2">
        <v>39000</v>
      </c>
      <c r="D6" s="2">
        <v>46000</v>
      </c>
      <c r="E6" s="2">
        <v>97000</v>
      </c>
      <c r="F6" s="2">
        <v>97000</v>
      </c>
      <c r="G6" s="2">
        <v>21000</v>
      </c>
    </row>
    <row r="7" spans="1:7" x14ac:dyDescent="0.3">
      <c r="A7" s="2" t="s">
        <v>28</v>
      </c>
      <c r="B7" s="2">
        <v>58000</v>
      </c>
      <c r="C7" s="2">
        <v>41000</v>
      </c>
      <c r="D7" s="2">
        <v>33000</v>
      </c>
      <c r="E7" s="2">
        <v>92000</v>
      </c>
      <c r="F7" s="2">
        <v>92000</v>
      </c>
      <c r="G7" s="2">
        <v>87000</v>
      </c>
    </row>
    <row r="8" spans="1:7" x14ac:dyDescent="0.3">
      <c r="A8" s="2" t="s">
        <v>29</v>
      </c>
      <c r="B8" s="2">
        <v>21000</v>
      </c>
      <c r="C8" s="2">
        <v>59000</v>
      </c>
      <c r="D8" s="2">
        <v>28000</v>
      </c>
      <c r="E8" s="2">
        <v>49000</v>
      </c>
      <c r="F8" s="2">
        <v>21000</v>
      </c>
      <c r="G8" s="2">
        <v>72000</v>
      </c>
    </row>
    <row r="9" spans="1:7" x14ac:dyDescent="0.3">
      <c r="A9" s="2" t="s">
        <v>30</v>
      </c>
      <c r="B9" s="2">
        <v>16000</v>
      </c>
      <c r="C9" s="2">
        <v>11000</v>
      </c>
      <c r="D9" s="2">
        <v>14000</v>
      </c>
      <c r="E9" s="2">
        <v>91000</v>
      </c>
      <c r="F9" s="2">
        <v>45000</v>
      </c>
      <c r="G9" s="2">
        <v>44000</v>
      </c>
    </row>
    <row r="10" spans="1:7" x14ac:dyDescent="0.3">
      <c r="A10" s="2" t="s">
        <v>31</v>
      </c>
      <c r="B10" s="2">
        <v>82000</v>
      </c>
      <c r="C10" s="2">
        <v>94000</v>
      </c>
      <c r="D10" s="2">
        <v>82000</v>
      </c>
      <c r="E10" s="2">
        <v>91000</v>
      </c>
      <c r="F10" s="2">
        <v>44000</v>
      </c>
      <c r="G10" s="2">
        <v>96000</v>
      </c>
    </row>
    <row r="11" spans="1:7" x14ac:dyDescent="0.3">
      <c r="A11" s="2" t="s">
        <v>32</v>
      </c>
      <c r="B11" s="2">
        <v>75000</v>
      </c>
      <c r="C11" s="2">
        <v>99000</v>
      </c>
      <c r="D11" s="2">
        <v>34000</v>
      </c>
      <c r="E11" s="2">
        <v>64000</v>
      </c>
      <c r="F11" s="2">
        <v>93000</v>
      </c>
      <c r="G11" s="2">
        <v>40000</v>
      </c>
    </row>
    <row r="12" spans="1:7" x14ac:dyDescent="0.3">
      <c r="A12" s="2" t="s">
        <v>33</v>
      </c>
      <c r="B12" s="2">
        <v>59000</v>
      </c>
      <c r="C12" s="2">
        <v>69000</v>
      </c>
      <c r="D12" s="2">
        <v>94000</v>
      </c>
      <c r="E12" s="2">
        <v>36000</v>
      </c>
      <c r="F12" s="2">
        <v>56000</v>
      </c>
      <c r="G12" s="2">
        <v>29000</v>
      </c>
    </row>
    <row r="13" spans="1:7" x14ac:dyDescent="0.3">
      <c r="A13" s="2" t="s">
        <v>34</v>
      </c>
      <c r="B13" s="2">
        <v>91000</v>
      </c>
      <c r="C13" s="2">
        <v>13000</v>
      </c>
      <c r="D13" s="2">
        <v>84000</v>
      </c>
      <c r="E13" s="2">
        <v>51000</v>
      </c>
      <c r="F13" s="2">
        <v>25000</v>
      </c>
      <c r="G13" s="2">
        <v>99000</v>
      </c>
    </row>
  </sheetData>
  <conditionalFormatting sqref="B2:B13">
    <cfRule type="cellIs" dxfId="1" priority="5" operator="lessThan">
      <formula>30000</formula>
    </cfRule>
  </conditionalFormatting>
  <conditionalFormatting sqref="C2:C13">
    <cfRule type="aboveAverage" dxfId="0" priority="4"/>
  </conditionalFormatting>
  <conditionalFormatting sqref="D2:D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{F3FF1C16-23E5-4740-AD15-E12917290F97}</x14:id>
        </ext>
      </extLst>
    </cfRule>
  </conditionalFormatting>
  <conditionalFormatting sqref="E2:E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3">
    <cfRule type="iconSet" priority="1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FF1C16-23E5-4740-AD15-E12917290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8319-6BE9-411B-820E-1788C2E0BBAC}">
  <dimension ref="A1:M3"/>
  <sheetViews>
    <sheetView workbookViewId="0">
      <selection activeCell="N3" sqref="N3"/>
    </sheetView>
  </sheetViews>
  <sheetFormatPr defaultRowHeight="14.4" x14ac:dyDescent="0.3"/>
  <cols>
    <col min="1" max="1" width="16.109375" customWidth="1"/>
    <col min="2" max="2" width="7.5546875" bestFit="1" customWidth="1"/>
    <col min="3" max="3" width="8.6640625" bestFit="1" customWidth="1"/>
    <col min="4" max="4" width="5.6640625" bestFit="1" customWidth="1"/>
    <col min="5" max="5" width="7.44140625" bestFit="1" customWidth="1"/>
    <col min="6" max="6" width="6.6640625" customWidth="1"/>
    <col min="7" max="7" width="6.109375" bestFit="1" customWidth="1"/>
    <col min="8" max="8" width="6" bestFit="1" customWidth="1"/>
    <col min="9" max="9" width="6.5546875" bestFit="1" customWidth="1"/>
    <col min="10" max="10" width="9.33203125" customWidth="1"/>
    <col min="11" max="11" width="8.5546875" bestFit="1" customWidth="1"/>
    <col min="12" max="12" width="7.6640625" bestFit="1" customWidth="1"/>
    <col min="13" max="13" width="8.6640625" bestFit="1" customWidth="1"/>
  </cols>
  <sheetData>
    <row r="1" spans="1:13" x14ac:dyDescent="0.3">
      <c r="A1" s="1" t="s">
        <v>36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</row>
    <row r="2" spans="1:13" x14ac:dyDescent="0.3">
      <c r="A2" s="2" t="s">
        <v>35</v>
      </c>
      <c r="B2" s="2">
        <v>1000</v>
      </c>
      <c r="C2" s="2">
        <v>9000</v>
      </c>
      <c r="D2" s="2">
        <v>4000</v>
      </c>
      <c r="E2" s="2">
        <v>6000</v>
      </c>
      <c r="F2" s="2">
        <v>8000</v>
      </c>
      <c r="G2" s="2">
        <v>4000</v>
      </c>
      <c r="H2" s="2">
        <v>3000</v>
      </c>
      <c r="I2" s="2">
        <v>4000</v>
      </c>
      <c r="J2" s="2">
        <v>2000</v>
      </c>
      <c r="K2" s="2">
        <v>9000</v>
      </c>
      <c r="L2" s="2">
        <v>2000</v>
      </c>
      <c r="M2" s="2">
        <v>3000</v>
      </c>
    </row>
    <row r="3" spans="1:13" ht="28.8" x14ac:dyDescent="0.3">
      <c r="A3" s="3" t="s">
        <v>37</v>
      </c>
      <c r="B3" s="19">
        <f>SUM($B$2:B2)</f>
        <v>1000</v>
      </c>
      <c r="C3" s="19">
        <f>SUM($B$2:C2)</f>
        <v>10000</v>
      </c>
      <c r="D3" s="19">
        <f>SUM($B$2:D2)</f>
        <v>14000</v>
      </c>
      <c r="E3" s="19">
        <f>SUM($B$2:E2)</f>
        <v>20000</v>
      </c>
      <c r="F3" s="19">
        <f>SUM($B$2:F2)</f>
        <v>28000</v>
      </c>
      <c r="G3" s="19">
        <f>SUM($B$2:G2)</f>
        <v>32000</v>
      </c>
      <c r="H3" s="19">
        <f>SUM($B$2:H2)</f>
        <v>35000</v>
      </c>
      <c r="I3" s="19">
        <f>SUM($B$2:I2)</f>
        <v>39000</v>
      </c>
      <c r="J3" s="19">
        <f>SUM($B$2:J2)</f>
        <v>41000</v>
      </c>
      <c r="K3" s="19">
        <f>SUM($B$2:K2)</f>
        <v>50000</v>
      </c>
      <c r="L3" s="19">
        <f>SUM($B$2:L2)</f>
        <v>52000</v>
      </c>
      <c r="M3" s="19">
        <f>SUM($B$2:M2)</f>
        <v>55000</v>
      </c>
    </row>
  </sheetData>
  <phoneticPr fontId="2" type="noConversion"/>
  <conditionalFormatting sqref="B2:M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span" xr2:uid="{487CF4D6-9126-4039-8842-61A751320B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'4.4'!B2:M2</xm:f>
              <xm:sqref>N2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4.1</vt:lpstr>
      <vt:lpstr>4.2</vt:lpstr>
      <vt:lpstr>4.3</vt:lpstr>
      <vt:lpstr>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2024-06-26T17:26:33Z</dcterms:created>
  <dcterms:modified xsi:type="dcterms:W3CDTF">2025-06-06T14:53:27Z</dcterms:modified>
</cp:coreProperties>
</file>