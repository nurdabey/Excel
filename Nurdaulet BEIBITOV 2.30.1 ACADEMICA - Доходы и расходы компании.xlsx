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FA18B91-EB5E-4A6A-82DC-AB1F2581FF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definedNames>
    <definedName name="_xlnm._FilterDatabase" localSheetId="0" hidden="1">Лист1!$A$1:$E$14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14" i="1"/>
  <c r="D14" i="1"/>
  <c r="C14" i="1"/>
  <c r="B14" i="1"/>
  <c r="E3" i="1"/>
  <c r="E4" i="1"/>
  <c r="E5" i="1"/>
  <c r="E6" i="1"/>
  <c r="E7" i="1"/>
  <c r="E8" i="1"/>
  <c r="E9" i="1"/>
  <c r="E10" i="1"/>
  <c r="E11" i="1"/>
  <c r="E12" i="1"/>
  <c r="E13" i="1"/>
  <c r="D3" i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<sst xmlns="http://schemas.openxmlformats.org/spreadsheetml/2006/main" count="18" uniqueCount="18">
  <si>
    <t>Месяц</t>
  </si>
  <si>
    <t>Доходы ($)</t>
  </si>
  <si>
    <t>Расходы($)</t>
  </si>
  <si>
    <t>Прибыль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</si>
  <si>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</si>
  <si>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</si>
  <si>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</si>
  <si>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</si>
  <si>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</si>
  <si>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</si>
  <si>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</si>
  <si>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</si>
  <si>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</si>
  <si>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</si>
  <si>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</si>
  <si>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</si>
  <si>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ИТОГ:</t>
  </si>
  <si>
    <t>Прибыль&gt;2100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</si>
</sst>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right" shrinkToFit="1"/>
    </xf>
    <xf numFmtId="0" fontId="0" fillId="0" borderId="1" xfId="0" applyBorder="1" applyAlignment="1">
      <alignment horizontal="right" shrinkToFit="1"/>
    </xf>
    <xf numFmtId="0" fontId="0" fillId="0" borderId="1" xfId="0" quotePrefix="1" applyBorder="1" applyAlignment="1">
      <alignment horizontal="right"/>
    </xf>
    <xf numFmtId="0" fontId="2" fillId="0" borderId="1" xfId="0" applyFont="1" applyBorder="1" applyAlignment="1">
      <alignment horizontal="right" shrinkToFit="1"/>
    </xf>
    <xf numFmtId="0" fontId="3" fillId="0" borderId="1" xfId="0" applyFont="1" applyBorder="1"/>
    <xf numFmtId="0" fontId="3" fillId="0" borderId="1" xfId="0" applyFont="1" applyBorder="1" applyAlignment="1">
      <alignment horizontal="right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9"/>
  <sheetViews>
    <sheetView tabSelected="1" workbookViewId="0">
      <selection activeCell="E2" sqref="E2"/>
    </sheetView>
  </sheetViews>
  <sheetFormatPr defaultColWidth="12.6640625" defaultRowHeight="15.75" customHeight="1" x14ac:dyDescent="0.25"/>
  <cols>
    <col min="1" max="1" width="9.44140625" customWidth="1"/>
    <col min="5" max="5" width="14.44140625" customWidth="1"/>
  </cols>
  <sheetData>
    <row r="1" spans="1:5" ht="13.2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17</v>
      </c>
    </row>
    <row r="2" spans="1:5" ht="13.2" x14ac:dyDescent="0.25">
      <c r="A2" s="2" t="s">
        <v>4</v>
      </c>
      <c r="B2" s="2">
        <v>5000</v>
      </c>
      <c r="C2" s="2">
        <v>3500</v>
      </c>
      <c r="D2" s="3">
        <f>SUM(B2-C2)</f>
        <v>1500</v>
      </c>
      <c r="E2" s="4" t="str">
        <f>IF(D2&gt;2100, "YES","NO")</f>
        <v>NO</v>
      </c>
    </row>
    <row r="3" spans="1:5" ht="13.2" x14ac:dyDescent="0.25">
      <c r="A3" s="2" t="s">
        <v>5</v>
      </c>
      <c r="B3" s="2">
        <v>5500</v>
      </c>
      <c r="C3" s="2">
        <v>3700</v>
      </c>
      <c r="D3" s="3">
        <f t="shared" ref="D3:D14" si="0">SUM(B3-C3)</f>
        <v>1800</v>
      </c>
      <c r="E3" s="4" t="str">
        <f t="shared" ref="E3:E14" si="1">IF(D3&gt;2100, "YES","NO")</f>
        <v>NO</v>
      </c>
    </row>
    <row r="4" spans="1:5" ht="13.2" x14ac:dyDescent="0.25">
      <c r="A4" s="2" t="s">
        <v>6</v>
      </c>
      <c r="B4" s="2">
        <v>6000</v>
      </c>
      <c r="C4" s="2">
        <v>3900</v>
      </c>
      <c r="D4" s="3">
        <f t="shared" si="0"/>
        <v>2100</v>
      </c>
      <c r="E4" s="4" t="str">
        <f t="shared" si="1"/>
        <v>NO</v>
      </c>
    </row>
    <row r="5" spans="1:5" ht="13.5" customHeight="1" x14ac:dyDescent="0.25">
      <c r="A5" s="2" t="s">
        <v>7</v>
      </c>
      <c r="B5" s="2">
        <v>6200</v>
      </c>
      <c r="C5" s="2">
        <v>4000</v>
      </c>
      <c r="D5" s="3">
        <f t="shared" si="0"/>
        <v>2200</v>
      </c>
      <c r="E5" s="4" t="str">
        <f t="shared" si="1"/>
        <v>YES</v>
      </c>
    </row>
    <row r="6" spans="1:5" ht="13.2" x14ac:dyDescent="0.25">
      <c r="A6" s="2" t="s">
        <v>8</v>
      </c>
      <c r="B6" s="2">
        <v>5800</v>
      </c>
      <c r="C6" s="2">
        <v>3800</v>
      </c>
      <c r="D6" s="3">
        <f t="shared" si="0"/>
        <v>2000</v>
      </c>
      <c r="E6" s="4" t="str">
        <f t="shared" si="1"/>
        <v>NO</v>
      </c>
    </row>
    <row r="7" spans="1:5" ht="13.2" x14ac:dyDescent="0.25">
      <c r="A7" s="2" t="s">
        <v>9</v>
      </c>
      <c r="B7" s="2">
        <v>6500</v>
      </c>
      <c r="C7" s="2">
        <v>4100</v>
      </c>
      <c r="D7" s="3">
        <f t="shared" si="0"/>
        <v>2400</v>
      </c>
      <c r="E7" s="4" t="str">
        <f t="shared" si="1"/>
        <v>YES</v>
      </c>
    </row>
    <row r="8" spans="1:5" ht="13.2" x14ac:dyDescent="0.25">
      <c r="A8" s="2" t="s">
        <v>10</v>
      </c>
      <c r="B8" s="2">
        <v>6700</v>
      </c>
      <c r="C8" s="2">
        <v>4200</v>
      </c>
      <c r="D8" s="3">
        <f t="shared" si="0"/>
        <v>2500</v>
      </c>
      <c r="E8" s="4" t="str">
        <f t="shared" si="1"/>
        <v>YES</v>
      </c>
    </row>
    <row r="9" spans="1:5" ht="11.55" customHeight="1" x14ac:dyDescent="0.25">
      <c r="A9" s="2" t="s">
        <v>11</v>
      </c>
      <c r="B9" s="2">
        <v>6800</v>
      </c>
      <c r="C9" s="2">
        <v>4300</v>
      </c>
      <c r="D9" s="3">
        <f t="shared" si="0"/>
        <v>2500</v>
      </c>
      <c r="E9" s="4" t="str">
        <f t="shared" si="1"/>
        <v>YES</v>
      </c>
    </row>
    <row r="10" spans="1:5" ht="13.2" x14ac:dyDescent="0.25">
      <c r="A10" s="2" t="s">
        <v>12</v>
      </c>
      <c r="B10" s="2">
        <v>7000</v>
      </c>
      <c r="C10" s="2">
        <v>4500</v>
      </c>
      <c r="D10" s="3">
        <f t="shared" si="0"/>
        <v>2500</v>
      </c>
      <c r="E10" s="4" t="str">
        <f t="shared" si="1"/>
        <v>YES</v>
      </c>
    </row>
    <row r="11" spans="1:5" ht="12" customHeight="1" x14ac:dyDescent="0.25">
      <c r="A11" s="2" t="s">
        <v>13</v>
      </c>
      <c r="B11" s="2">
        <v>5800</v>
      </c>
      <c r="C11" s="2">
        <v>3800</v>
      </c>
      <c r="D11" s="3">
        <f t="shared" si="0"/>
        <v>2000</v>
      </c>
      <c r="E11" s="4" t="str">
        <f t="shared" si="1"/>
        <v>NO</v>
      </c>
    </row>
    <row r="12" spans="1:5" ht="13.2" x14ac:dyDescent="0.25">
      <c r="A12" s="2" t="s">
        <v>14</v>
      </c>
      <c r="B12" s="2">
        <v>6500</v>
      </c>
      <c r="C12" s="2">
        <v>4000</v>
      </c>
      <c r="D12" s="3">
        <f t="shared" si="0"/>
        <v>2500</v>
      </c>
      <c r="E12" s="4" t="str">
        <f t="shared" si="1"/>
        <v>YES</v>
      </c>
    </row>
    <row r="13" spans="1:5" ht="13.2" x14ac:dyDescent="0.25">
      <c r="A13" s="2" t="s">
        <v>15</v>
      </c>
      <c r="B13" s="2">
        <v>6400</v>
      </c>
      <c r="C13" s="2">
        <v>3900</v>
      </c>
      <c r="D13" s="3">
        <f t="shared" si="0"/>
        <v>2500</v>
      </c>
      <c r="E13" s="4" t="str">
        <f t="shared" si="1"/>
        <v>YES</v>
      </c>
    </row>
    <row r="14" spans="1:5" ht="13.2" x14ac:dyDescent="0.25">
      <c r="A14" s="5" t="s">
        <v>16</v>
      </c>
      <c r="B14" s="7">
        <f>SUM(B2:B13)</f>
        <v>74200</v>
      </c>
      <c r="C14" s="7">
        <f>SUM(C2:C13)</f>
        <v>47700</v>
      </c>
      <c r="D14" s="7">
        <f>SUM(D2:D13)</f>
        <v>26500</v>
      </c>
      <c r="E14" s="4" t="str">
        <f t="shared" si="1"/>
        <v>YES</v>
      </c>
    </row>
    <row r="19" spans="4:4" ht="13.2" x14ac:dyDescent="0.25">
      <c r="D1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nurdaulet beibitov</cp:lastModifiedBy>
  <dcterms:created xsi:type="dcterms:W3CDTF">2025-06-14T05:22:17Z</dcterms:created>
  <dcterms:modified xsi:type="dcterms:W3CDTF">2025-06-14T06:01:44Z</dcterms:modified>
</cp:coreProperties>
</file>